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1"/>
  <workbookPr/>
  <mc:AlternateContent xmlns:mc="http://schemas.openxmlformats.org/markup-compatibility/2006">
    <mc:Choice Requires="x15">
      <x15ac:absPath xmlns:x15ac="http://schemas.microsoft.com/office/spreadsheetml/2010/11/ac" url="C:\Users\Moustafa Maher\Desktop\"/>
    </mc:Choice>
  </mc:AlternateContent>
  <xr:revisionPtr revIDLastSave="0" documentId="13_ncr:1_{D6983051-28A5-4BCE-8B48-1903B304C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1" i="3" l="1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sharedStrings.xml><?xml version="1.0" encoding="utf-8"?>
<sst xmlns="http://schemas.openxmlformats.org/spreadsheetml/2006/main" count="379" uniqueCount="163">
  <si>
    <t>Full Name</t>
  </si>
  <si>
    <t>Phone Number</t>
  </si>
  <si>
    <t>National ID</t>
  </si>
  <si>
    <t>Nationality</t>
  </si>
  <si>
    <t>Company</t>
  </si>
  <si>
    <t>Address</t>
  </si>
  <si>
    <t>Weight (kg)</t>
  </si>
  <si>
    <t>Has Disease</t>
  </si>
  <si>
    <t>Disease Type</t>
  </si>
  <si>
    <t>Referral Source</t>
  </si>
  <si>
    <t>Plan Name</t>
  </si>
  <si>
    <t>Subscription Price</t>
  </si>
  <si>
    <t>Paid Amount</t>
  </si>
  <si>
    <t>Duration (Months)</t>
  </si>
  <si>
    <t>Free Months</t>
  </si>
  <si>
    <t>Freeze Days</t>
  </si>
  <si>
    <t>Start Date</t>
  </si>
  <si>
    <t>Payment Method</t>
  </si>
  <si>
    <t>Remaining Balance</t>
  </si>
  <si>
    <t>Sara El-Ghandour</t>
  </si>
  <si>
    <t>01029551396</t>
  </si>
  <si>
    <t>29568243931776</t>
  </si>
  <si>
    <t>Saudi</t>
  </si>
  <si>
    <t>Valeo</t>
  </si>
  <si>
    <t>Giza, Egypt</t>
  </si>
  <si>
    <t>No</t>
  </si>
  <si>
    <t>None</t>
  </si>
  <si>
    <t>Social Media</t>
  </si>
  <si>
    <t>1 Month</t>
  </si>
  <si>
    <t>2026-02-28</t>
  </si>
  <si>
    <t>Instapay</t>
  </si>
  <si>
    <t>Zeinab Ali</t>
  </si>
  <si>
    <t>01016427353</t>
  </si>
  <si>
    <t>29594166626252</t>
  </si>
  <si>
    <t>Egyptian</t>
  </si>
  <si>
    <t>NBE</t>
  </si>
  <si>
    <t>Maadi, Cairo</t>
  </si>
  <si>
    <t>Friend</t>
  </si>
  <si>
    <t>6 Months</t>
  </si>
  <si>
    <t>2026-03-22</t>
  </si>
  <si>
    <t>Wallet</t>
  </si>
  <si>
    <t>Mariam Ibrahim</t>
  </si>
  <si>
    <t>01038297659</t>
  </si>
  <si>
    <t>29561245626800</t>
  </si>
  <si>
    <t>Etisalat</t>
  </si>
  <si>
    <t>New Cairo, Egypt</t>
  </si>
  <si>
    <t>Google Maps</t>
  </si>
  <si>
    <t>3 Months</t>
  </si>
  <si>
    <t>2026-01-21</t>
  </si>
  <si>
    <t>Visa</t>
  </si>
  <si>
    <t>Youssef Mahmoud</t>
  </si>
  <si>
    <t>01032416318</t>
  </si>
  <si>
    <t>29513178519422</t>
  </si>
  <si>
    <t>Heliopolis, Cairo</t>
  </si>
  <si>
    <t>2026-03-17</t>
  </si>
  <si>
    <t>Omar Abdel-Aziz</t>
  </si>
  <si>
    <t>01080891016</t>
  </si>
  <si>
    <t>29597207090110</t>
  </si>
  <si>
    <t>Yes</t>
  </si>
  <si>
    <t>Hypertension</t>
  </si>
  <si>
    <t>2026-04-19</t>
  </si>
  <si>
    <t>Nour El-Din</t>
  </si>
  <si>
    <t>01078931402</t>
  </si>
  <si>
    <t>29573285264942</t>
  </si>
  <si>
    <t>Vodafone</t>
  </si>
  <si>
    <t>2026-03-31</t>
  </si>
  <si>
    <t>Cash</t>
  </si>
  <si>
    <t>01016807566</t>
  </si>
  <si>
    <t>29586176198565</t>
  </si>
  <si>
    <t>CIB</t>
  </si>
  <si>
    <t>2026-01-15</t>
  </si>
  <si>
    <t>01035880982</t>
  </si>
  <si>
    <t>29577134508882</t>
  </si>
  <si>
    <t>2026-02-26</t>
  </si>
  <si>
    <t>Amr Mustafa</t>
  </si>
  <si>
    <t>01016627194</t>
  </si>
  <si>
    <t>29570114323935</t>
  </si>
  <si>
    <t>2026-02-02</t>
  </si>
  <si>
    <t>01063958430</t>
  </si>
  <si>
    <t>29514278152576</t>
  </si>
  <si>
    <t>Uber</t>
  </si>
  <si>
    <t>Nasr City, Cairo</t>
  </si>
  <si>
    <t>Walk-in</t>
  </si>
  <si>
    <t>12 Months</t>
  </si>
  <si>
    <t>2026-04-16</t>
  </si>
  <si>
    <t>01065394441</t>
  </si>
  <si>
    <t>29519187724063</t>
  </si>
  <si>
    <t>Orange</t>
  </si>
  <si>
    <t>2026-02-04</t>
  </si>
  <si>
    <t>01015066255</t>
  </si>
  <si>
    <t>29513275941191</t>
  </si>
  <si>
    <t>Ahmed Mansour</t>
  </si>
  <si>
    <t>01053491893</t>
  </si>
  <si>
    <t>29596241565382</t>
  </si>
  <si>
    <t>2026-01-01</t>
  </si>
  <si>
    <t>Fatima Al-Sayed</t>
  </si>
  <si>
    <t>01052921007</t>
  </si>
  <si>
    <t>29574223927427</t>
  </si>
  <si>
    <t>Mohamed Hassan</t>
  </si>
  <si>
    <t>01094953895</t>
  </si>
  <si>
    <t>29527239463469</t>
  </si>
  <si>
    <t>2026-02-25</t>
  </si>
  <si>
    <t>Khaled El-Masry</t>
  </si>
  <si>
    <t>01011223344</t>
  </si>
  <si>
    <t>29601151234567</t>
  </si>
  <si>
    <t>2026-05-10</t>
  </si>
  <si>
    <t>Layla Marzouq</t>
  </si>
  <si>
    <t>01022334455</t>
  </si>
  <si>
    <t>29705221456789</t>
  </si>
  <si>
    <t>2026-06-01</t>
  </si>
  <si>
    <t>Tarek Soliman</t>
  </si>
  <si>
    <t>01033445566</t>
  </si>
  <si>
    <t>29408111678901</t>
  </si>
  <si>
    <t>Diabetes</t>
  </si>
  <si>
    <t>2026-04-12</t>
  </si>
  <si>
    <t>Mona Abdel-Hadi</t>
  </si>
  <si>
    <t>01044556677</t>
  </si>
  <si>
    <t>29812031890123</t>
  </si>
  <si>
    <t>2026-02-18</t>
  </si>
  <si>
    <t>Mostafa Hegazi</t>
  </si>
  <si>
    <t>01055667788</t>
  </si>
  <si>
    <t>29302271239876</t>
  </si>
  <si>
    <t>2026-05-20</t>
  </si>
  <si>
    <t>Rania Yassin</t>
  </si>
  <si>
    <t>01066778899</t>
  </si>
  <si>
    <t>29909141472583</t>
  </si>
  <si>
    <t>2026-03-05</t>
  </si>
  <si>
    <t>Hazem El-Din</t>
  </si>
  <si>
    <t>01077889900</t>
  </si>
  <si>
    <t>29206191983472</t>
  </si>
  <si>
    <t>2026-01-29</t>
  </si>
  <si>
    <t>Farida Mansoor</t>
  </si>
  <si>
    <t>01088990011</t>
  </si>
  <si>
    <t>29611022345123</t>
  </si>
  <si>
    <t>2026-04-02</t>
  </si>
  <si>
    <t>Zeyad Fahmy</t>
  </si>
  <si>
    <t>01099001122</t>
  </si>
  <si>
    <t>29504132456712</t>
  </si>
  <si>
    <t>2026-06-11</t>
  </si>
  <si>
    <t>Nadine El-Baz</t>
  </si>
  <si>
    <t>01012345678</t>
  </si>
  <si>
    <t>29707251567834</t>
  </si>
  <si>
    <t>2026-03-14</t>
  </si>
  <si>
    <t>Sherif Roushdy</t>
  </si>
  <si>
    <t>01023456789</t>
  </si>
  <si>
    <t>29110081234956</t>
  </si>
  <si>
    <t>2026-02-22</t>
  </si>
  <si>
    <t>Dina Shaker</t>
  </si>
  <si>
    <t>01034567890</t>
  </si>
  <si>
    <t>29803121765432</t>
  </si>
  <si>
    <t>2026-05-05</t>
  </si>
  <si>
    <t>Karim Abdel-Gawad</t>
  </si>
  <si>
    <t>01045678901</t>
  </si>
  <si>
    <t>29405291876543</t>
  </si>
  <si>
    <t>2026-01-19</t>
  </si>
  <si>
    <t>Yasmin Fouad</t>
  </si>
  <si>
    <t>01056789012</t>
  </si>
  <si>
    <t>29912241987654</t>
  </si>
  <si>
    <t>2026-04-25</t>
  </si>
  <si>
    <t>Hany Salama</t>
  </si>
  <si>
    <t>01067890123</t>
  </si>
  <si>
    <t>29308012134567</t>
  </si>
  <si>
    <t>2026-06-18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</si>
</sst>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kg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DCF1-F5C2-4C06-9A1A-8448B15C69B7}">
  <dimension ref="A1:S31"/>
  <sheetViews>
    <sheetView tabSelected="1" workbookViewId="0">
      <selection activeCell="I11" sqref="I11"/>
    </sheetView>
  </sheetViews>
  <sheetFormatPr defaultRowHeight="14.4" x14ac:dyDescent="0.3"/>
  <cols>
    <col min="1" max="1" width="18.77734375" bestFit="1" customWidth="1"/>
  </cols>
  <sheetData>
    <row r="1" spans="1:19" ht="67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.8" x14ac:dyDescent="0.3">
      <c r="A2" s="2" t="s">
        <v>19</v>
      </c>
      <c r="B2" s="3" t="s">
        <v>20</v>
      </c>
      <c r="C2" s="3" t="s">
        <v>21</v>
      </c>
      <c r="D2" s="4" t="s">
        <v>22</v>
      </c>
      <c r="E2" s="2" t="s">
        <v>23</v>
      </c>
      <c r="F2" s="2" t="s">
        <v>24</v>
      </c>
      <c r="G2" s="5">
        <v>97</v>
      </c>
      <c r="H2" s="4" t="s">
        <v>25</v>
      </c>
      <c r="I2" s="2" t="s">
        <v>26</v>
      </c>
      <c r="J2" s="2" t="s">
        <v>27</v>
      </c>
      <c r="K2" s="2" t="s">
        <v>28</v>
      </c>
      <c r="L2" s="6">
        <v>800</v>
      </c>
      <c r="M2" s="6">
        <v>600</v>
      </c>
      <c r="N2" s="7">
        <v>1</v>
      </c>
      <c r="O2" s="7">
        <v>0</v>
      </c>
      <c r="P2" s="7">
        <v>0</v>
      </c>
      <c r="Q2" s="8" t="s">
        <v>29</v>
      </c>
      <c r="R2" s="2" t="s">
        <v>30</v>
      </c>
      <c r="S2" s="6">
        <f t="shared" ref="S2:S31" si="0">L2-M2</f>
        <v>200</v>
      </c>
    </row>
    <row r="3" spans="1:19" ht="16.8" x14ac:dyDescent="0.3">
      <c r="A3" s="9" t="s">
        <v>31</v>
      </c>
      <c r="B3" s="10" t="s">
        <v>32</v>
      </c>
      <c r="C3" s="10" t="s">
        <v>33</v>
      </c>
      <c r="D3" s="11" t="s">
        <v>34</v>
      </c>
      <c r="E3" s="9" t="s">
        <v>35</v>
      </c>
      <c r="F3" s="9" t="s">
        <v>36</v>
      </c>
      <c r="G3" s="12">
        <v>76</v>
      </c>
      <c r="H3" s="11" t="s">
        <v>25</v>
      </c>
      <c r="I3" s="9" t="s">
        <v>26</v>
      </c>
      <c r="J3" s="9" t="s">
        <v>37</v>
      </c>
      <c r="K3" s="9" t="s">
        <v>38</v>
      </c>
      <c r="L3" s="13">
        <v>3500</v>
      </c>
      <c r="M3" s="13">
        <v>3500</v>
      </c>
      <c r="N3" s="14">
        <v>6</v>
      </c>
      <c r="O3" s="14">
        <v>1</v>
      </c>
      <c r="P3" s="14">
        <v>15</v>
      </c>
      <c r="Q3" s="15" t="s">
        <v>39</v>
      </c>
      <c r="R3" s="9" t="s">
        <v>40</v>
      </c>
      <c r="S3" s="13">
        <f t="shared" si="0"/>
        <v>0</v>
      </c>
    </row>
    <row r="4" spans="1:19" ht="16.8" x14ac:dyDescent="0.3">
      <c r="A4" s="2" t="s">
        <v>41</v>
      </c>
      <c r="B4" s="3" t="s">
        <v>42</v>
      </c>
      <c r="C4" s="3" t="s">
        <v>43</v>
      </c>
      <c r="D4" s="4" t="s">
        <v>22</v>
      </c>
      <c r="E4" s="2" t="s">
        <v>44</v>
      </c>
      <c r="F4" s="2" t="s">
        <v>45</v>
      </c>
      <c r="G4" s="5">
        <v>76</v>
      </c>
      <c r="H4" s="4" t="s">
        <v>25</v>
      </c>
      <c r="I4" s="2" t="s">
        <v>26</v>
      </c>
      <c r="J4" s="2" t="s">
        <v>46</v>
      </c>
      <c r="K4" s="2" t="s">
        <v>47</v>
      </c>
      <c r="L4" s="6">
        <v>2000</v>
      </c>
      <c r="M4" s="6">
        <v>1500</v>
      </c>
      <c r="N4" s="7">
        <v>3</v>
      </c>
      <c r="O4" s="7">
        <v>0</v>
      </c>
      <c r="P4" s="7">
        <v>7</v>
      </c>
      <c r="Q4" s="8" t="s">
        <v>48</v>
      </c>
      <c r="R4" s="2" t="s">
        <v>49</v>
      </c>
      <c r="S4" s="6">
        <f t="shared" si="0"/>
        <v>500</v>
      </c>
    </row>
    <row r="5" spans="1:19" ht="16.8" x14ac:dyDescent="0.3">
      <c r="A5" s="9" t="s">
        <v>50</v>
      </c>
      <c r="B5" s="10" t="s">
        <v>51</v>
      </c>
      <c r="C5" s="10" t="s">
        <v>52</v>
      </c>
      <c r="D5" s="11" t="s">
        <v>22</v>
      </c>
      <c r="E5" s="9" t="s">
        <v>44</v>
      </c>
      <c r="F5" s="9" t="s">
        <v>53</v>
      </c>
      <c r="G5" s="12">
        <v>100</v>
      </c>
      <c r="H5" s="11" t="s">
        <v>25</v>
      </c>
      <c r="I5" s="9" t="s">
        <v>26</v>
      </c>
      <c r="J5" s="9" t="s">
        <v>37</v>
      </c>
      <c r="K5" s="9" t="s">
        <v>38</v>
      </c>
      <c r="L5" s="13">
        <v>3500</v>
      </c>
      <c r="M5" s="13">
        <v>2625</v>
      </c>
      <c r="N5" s="14">
        <v>6</v>
      </c>
      <c r="O5" s="14">
        <v>1</v>
      </c>
      <c r="P5" s="14">
        <v>15</v>
      </c>
      <c r="Q5" s="15" t="s">
        <v>54</v>
      </c>
      <c r="R5" s="9" t="s">
        <v>30</v>
      </c>
      <c r="S5" s="13">
        <f t="shared" si="0"/>
        <v>875</v>
      </c>
    </row>
    <row r="6" spans="1:19" ht="16.8" x14ac:dyDescent="0.3">
      <c r="A6" s="2" t="s">
        <v>55</v>
      </c>
      <c r="B6" s="3" t="s">
        <v>56</v>
      </c>
      <c r="C6" s="3" t="s">
        <v>57</v>
      </c>
      <c r="D6" s="4" t="s">
        <v>22</v>
      </c>
      <c r="E6" s="2" t="s">
        <v>26</v>
      </c>
      <c r="F6" s="2" t="s">
        <v>45</v>
      </c>
      <c r="G6" s="5">
        <v>71</v>
      </c>
      <c r="H6" s="4" t="s">
        <v>58</v>
      </c>
      <c r="I6" s="2" t="s">
        <v>59</v>
      </c>
      <c r="J6" s="2" t="s">
        <v>46</v>
      </c>
      <c r="K6" s="2" t="s">
        <v>38</v>
      </c>
      <c r="L6" s="6">
        <v>3500</v>
      </c>
      <c r="M6" s="6">
        <v>3500</v>
      </c>
      <c r="N6" s="7">
        <v>6</v>
      </c>
      <c r="O6" s="7">
        <v>1</v>
      </c>
      <c r="P6" s="7">
        <v>15</v>
      </c>
      <c r="Q6" s="8" t="s">
        <v>60</v>
      </c>
      <c r="R6" s="2" t="s">
        <v>40</v>
      </c>
      <c r="S6" s="6">
        <f t="shared" si="0"/>
        <v>0</v>
      </c>
    </row>
    <row r="7" spans="1:19" ht="16.8" x14ac:dyDescent="0.3">
      <c r="A7" s="9" t="s">
        <v>61</v>
      </c>
      <c r="B7" s="10" t="s">
        <v>62</v>
      </c>
      <c r="C7" s="10" t="s">
        <v>63</v>
      </c>
      <c r="D7" s="11" t="s">
        <v>34</v>
      </c>
      <c r="E7" s="9" t="s">
        <v>64</v>
      </c>
      <c r="F7" s="9" t="s">
        <v>53</v>
      </c>
      <c r="G7" s="12">
        <v>85</v>
      </c>
      <c r="H7" s="11" t="s">
        <v>25</v>
      </c>
      <c r="I7" s="9" t="s">
        <v>26</v>
      </c>
      <c r="J7" s="9" t="s">
        <v>27</v>
      </c>
      <c r="K7" s="9" t="s">
        <v>38</v>
      </c>
      <c r="L7" s="13">
        <v>3500</v>
      </c>
      <c r="M7" s="13">
        <v>2625</v>
      </c>
      <c r="N7" s="14">
        <v>6</v>
      </c>
      <c r="O7" s="14">
        <v>1</v>
      </c>
      <c r="P7" s="14">
        <v>15</v>
      </c>
      <c r="Q7" s="15" t="s">
        <v>65</v>
      </c>
      <c r="R7" s="9" t="s">
        <v>66</v>
      </c>
      <c r="S7" s="13">
        <f t="shared" si="0"/>
        <v>875</v>
      </c>
    </row>
    <row r="8" spans="1:19" ht="16.8" x14ac:dyDescent="0.3">
      <c r="A8" s="2" t="s">
        <v>31</v>
      </c>
      <c r="B8" s="3" t="s">
        <v>67</v>
      </c>
      <c r="C8" s="3" t="s">
        <v>68</v>
      </c>
      <c r="D8" s="4" t="s">
        <v>34</v>
      </c>
      <c r="E8" s="2" t="s">
        <v>69</v>
      </c>
      <c r="F8" s="2" t="s">
        <v>53</v>
      </c>
      <c r="G8" s="5">
        <v>87</v>
      </c>
      <c r="H8" s="4" t="s">
        <v>58</v>
      </c>
      <c r="I8" s="2" t="s">
        <v>59</v>
      </c>
      <c r="J8" s="2" t="s">
        <v>46</v>
      </c>
      <c r="K8" s="2" t="s">
        <v>28</v>
      </c>
      <c r="L8" s="6">
        <v>800</v>
      </c>
      <c r="M8" s="6">
        <v>600</v>
      </c>
      <c r="N8" s="7">
        <v>1</v>
      </c>
      <c r="O8" s="7">
        <v>0</v>
      </c>
      <c r="P8" s="7">
        <v>0</v>
      </c>
      <c r="Q8" s="8" t="s">
        <v>70</v>
      </c>
      <c r="R8" s="2" t="s">
        <v>40</v>
      </c>
      <c r="S8" s="6">
        <f t="shared" si="0"/>
        <v>200</v>
      </c>
    </row>
    <row r="9" spans="1:19" ht="16.8" x14ac:dyDescent="0.3">
      <c r="A9" s="9" t="s">
        <v>41</v>
      </c>
      <c r="B9" s="10" t="s">
        <v>71</v>
      </c>
      <c r="C9" s="10" t="s">
        <v>72</v>
      </c>
      <c r="D9" s="11" t="s">
        <v>34</v>
      </c>
      <c r="E9" s="9" t="s">
        <v>26</v>
      </c>
      <c r="F9" s="9" t="s">
        <v>45</v>
      </c>
      <c r="G9" s="12">
        <v>90</v>
      </c>
      <c r="H9" s="11" t="s">
        <v>25</v>
      </c>
      <c r="I9" s="9" t="s">
        <v>26</v>
      </c>
      <c r="J9" s="9" t="s">
        <v>46</v>
      </c>
      <c r="K9" s="9" t="s">
        <v>28</v>
      </c>
      <c r="L9" s="13">
        <v>800</v>
      </c>
      <c r="M9" s="13">
        <v>600</v>
      </c>
      <c r="N9" s="14">
        <v>1</v>
      </c>
      <c r="O9" s="14">
        <v>0</v>
      </c>
      <c r="P9" s="14">
        <v>0</v>
      </c>
      <c r="Q9" s="15" t="s">
        <v>73</v>
      </c>
      <c r="R9" s="9" t="s">
        <v>49</v>
      </c>
      <c r="S9" s="13">
        <f t="shared" si="0"/>
        <v>200</v>
      </c>
    </row>
    <row r="10" spans="1:19" ht="16.8" x14ac:dyDescent="0.3">
      <c r="A10" s="2" t="s">
        <v>74</v>
      </c>
      <c r="B10" s="3" t="s">
        <v>75</v>
      </c>
      <c r="C10" s="3" t="s">
        <v>76</v>
      </c>
      <c r="D10" s="4" t="s">
        <v>34</v>
      </c>
      <c r="E10" s="2" t="s">
        <v>44</v>
      </c>
      <c r="F10" s="2" t="s">
        <v>45</v>
      </c>
      <c r="G10" s="5">
        <v>67</v>
      </c>
      <c r="H10" s="4" t="s">
        <v>25</v>
      </c>
      <c r="I10" s="2" t="s">
        <v>26</v>
      </c>
      <c r="J10" s="2" t="s">
        <v>37</v>
      </c>
      <c r="K10" s="2" t="s">
        <v>28</v>
      </c>
      <c r="L10" s="6">
        <v>800</v>
      </c>
      <c r="M10" s="6">
        <v>800</v>
      </c>
      <c r="N10" s="7">
        <v>1</v>
      </c>
      <c r="O10" s="7">
        <v>0</v>
      </c>
      <c r="P10" s="7">
        <v>0</v>
      </c>
      <c r="Q10" s="8" t="s">
        <v>77</v>
      </c>
      <c r="R10" s="2" t="s">
        <v>66</v>
      </c>
      <c r="S10" s="6">
        <f t="shared" si="0"/>
        <v>0</v>
      </c>
    </row>
    <row r="11" spans="1:19" ht="16.8" x14ac:dyDescent="0.3">
      <c r="A11" s="9" t="s">
        <v>74</v>
      </c>
      <c r="B11" s="10" t="s">
        <v>78</v>
      </c>
      <c r="C11" s="10" t="s">
        <v>79</v>
      </c>
      <c r="D11" s="11" t="s">
        <v>22</v>
      </c>
      <c r="E11" s="9" t="s">
        <v>80</v>
      </c>
      <c r="F11" s="9" t="s">
        <v>81</v>
      </c>
      <c r="G11" s="12">
        <v>94</v>
      </c>
      <c r="H11" s="11" t="s">
        <v>25</v>
      </c>
      <c r="I11" s="9" t="s">
        <v>26</v>
      </c>
      <c r="J11" s="9" t="s">
        <v>82</v>
      </c>
      <c r="K11" s="9" t="s">
        <v>83</v>
      </c>
      <c r="L11" s="13">
        <v>6000</v>
      </c>
      <c r="M11" s="13">
        <v>6000</v>
      </c>
      <c r="N11" s="14">
        <v>12</v>
      </c>
      <c r="O11" s="14">
        <v>2</v>
      </c>
      <c r="P11" s="14">
        <v>30</v>
      </c>
      <c r="Q11" s="15" t="s">
        <v>84</v>
      </c>
      <c r="R11" s="9" t="s">
        <v>49</v>
      </c>
      <c r="S11" s="13">
        <f t="shared" si="0"/>
        <v>0</v>
      </c>
    </row>
    <row r="12" spans="1:19" ht="16.8" x14ac:dyDescent="0.3">
      <c r="A12" s="2" t="s">
        <v>41</v>
      </c>
      <c r="B12" s="3" t="s">
        <v>85</v>
      </c>
      <c r="C12" s="3" t="s">
        <v>86</v>
      </c>
      <c r="D12" s="4" t="s">
        <v>34</v>
      </c>
      <c r="E12" s="2" t="s">
        <v>87</v>
      </c>
      <c r="F12" s="2" t="s">
        <v>36</v>
      </c>
      <c r="G12" s="5">
        <v>79</v>
      </c>
      <c r="H12" s="4" t="s">
        <v>25</v>
      </c>
      <c r="I12" s="2" t="s">
        <v>26</v>
      </c>
      <c r="J12" s="2" t="s">
        <v>46</v>
      </c>
      <c r="K12" s="2" t="s">
        <v>38</v>
      </c>
      <c r="L12" s="6">
        <v>3500</v>
      </c>
      <c r="M12" s="6">
        <v>3500</v>
      </c>
      <c r="N12" s="7">
        <v>6</v>
      </c>
      <c r="O12" s="7">
        <v>1</v>
      </c>
      <c r="P12" s="7">
        <v>15</v>
      </c>
      <c r="Q12" s="8" t="s">
        <v>88</v>
      </c>
      <c r="R12" s="2" t="s">
        <v>30</v>
      </c>
      <c r="S12" s="6">
        <f t="shared" si="0"/>
        <v>0</v>
      </c>
    </row>
    <row r="13" spans="1:19" ht="16.8" x14ac:dyDescent="0.3">
      <c r="A13" s="9" t="s">
        <v>55</v>
      </c>
      <c r="B13" s="10" t="s">
        <v>89</v>
      </c>
      <c r="C13" s="10" t="s">
        <v>90</v>
      </c>
      <c r="D13" s="11" t="s">
        <v>34</v>
      </c>
      <c r="E13" s="9" t="s">
        <v>26</v>
      </c>
      <c r="F13" s="9" t="s">
        <v>45</v>
      </c>
      <c r="G13" s="12">
        <v>70</v>
      </c>
      <c r="H13" s="11" t="s">
        <v>25</v>
      </c>
      <c r="I13" s="9" t="s">
        <v>26</v>
      </c>
      <c r="J13" s="9" t="s">
        <v>82</v>
      </c>
      <c r="K13" s="9" t="s">
        <v>28</v>
      </c>
      <c r="L13" s="13">
        <v>800</v>
      </c>
      <c r="M13" s="13">
        <v>800</v>
      </c>
      <c r="N13" s="14">
        <v>1</v>
      </c>
      <c r="O13" s="14">
        <v>0</v>
      </c>
      <c r="P13" s="14">
        <v>0</v>
      </c>
      <c r="Q13" s="15" t="s">
        <v>84</v>
      </c>
      <c r="R13" s="9" t="s">
        <v>30</v>
      </c>
      <c r="S13" s="13">
        <f t="shared" si="0"/>
        <v>0</v>
      </c>
    </row>
    <row r="14" spans="1:19" ht="16.8" x14ac:dyDescent="0.3">
      <c r="A14" s="2" t="s">
        <v>91</v>
      </c>
      <c r="B14" s="3" t="s">
        <v>92</v>
      </c>
      <c r="C14" s="3" t="s">
        <v>93</v>
      </c>
      <c r="D14" s="4" t="s">
        <v>34</v>
      </c>
      <c r="E14" s="2" t="s">
        <v>87</v>
      </c>
      <c r="F14" s="2" t="s">
        <v>45</v>
      </c>
      <c r="G14" s="5">
        <v>104</v>
      </c>
      <c r="H14" s="4" t="s">
        <v>58</v>
      </c>
      <c r="I14" s="2" t="s">
        <v>59</v>
      </c>
      <c r="J14" s="2" t="s">
        <v>37</v>
      </c>
      <c r="K14" s="2" t="s">
        <v>47</v>
      </c>
      <c r="L14" s="6">
        <v>2000</v>
      </c>
      <c r="M14" s="6">
        <v>1500</v>
      </c>
      <c r="N14" s="7">
        <v>3</v>
      </c>
      <c r="O14" s="7">
        <v>0</v>
      </c>
      <c r="P14" s="7">
        <v>7</v>
      </c>
      <c r="Q14" s="8" t="s">
        <v>94</v>
      </c>
      <c r="R14" s="2" t="s">
        <v>66</v>
      </c>
      <c r="S14" s="6">
        <f t="shared" si="0"/>
        <v>500</v>
      </c>
    </row>
    <row r="15" spans="1:19" ht="16.8" x14ac:dyDescent="0.3">
      <c r="A15" s="9" t="s">
        <v>95</v>
      </c>
      <c r="B15" s="10" t="s">
        <v>96</v>
      </c>
      <c r="C15" s="10" t="s">
        <v>97</v>
      </c>
      <c r="D15" s="11" t="s">
        <v>22</v>
      </c>
      <c r="E15" s="9" t="s">
        <v>26</v>
      </c>
      <c r="F15" s="9" t="s">
        <v>24</v>
      </c>
      <c r="G15" s="12">
        <v>77</v>
      </c>
      <c r="H15" s="11" t="s">
        <v>25</v>
      </c>
      <c r="I15" s="9" t="s">
        <v>26</v>
      </c>
      <c r="J15" s="9" t="s">
        <v>37</v>
      </c>
      <c r="K15" s="9" t="s">
        <v>38</v>
      </c>
      <c r="L15" s="13">
        <v>3500</v>
      </c>
      <c r="M15" s="13">
        <v>3500</v>
      </c>
      <c r="N15" s="14">
        <v>6</v>
      </c>
      <c r="O15" s="14">
        <v>1</v>
      </c>
      <c r="P15" s="14">
        <v>15</v>
      </c>
      <c r="Q15" s="15" t="s">
        <v>39</v>
      </c>
      <c r="R15" s="9" t="s">
        <v>40</v>
      </c>
      <c r="S15" s="13">
        <f t="shared" si="0"/>
        <v>0</v>
      </c>
    </row>
    <row r="16" spans="1:19" ht="16.8" x14ac:dyDescent="0.3">
      <c r="A16" s="2" t="s">
        <v>98</v>
      </c>
      <c r="B16" s="3" t="s">
        <v>99</v>
      </c>
      <c r="C16" s="3" t="s">
        <v>100</v>
      </c>
      <c r="D16" s="4" t="s">
        <v>34</v>
      </c>
      <c r="E16" s="2" t="s">
        <v>35</v>
      </c>
      <c r="F16" s="2" t="s">
        <v>36</v>
      </c>
      <c r="G16" s="5">
        <v>72</v>
      </c>
      <c r="H16" s="4" t="s">
        <v>25</v>
      </c>
      <c r="I16" s="2" t="s">
        <v>26</v>
      </c>
      <c r="J16" s="2" t="s">
        <v>27</v>
      </c>
      <c r="K16" s="2" t="s">
        <v>83</v>
      </c>
      <c r="L16" s="6">
        <v>6000</v>
      </c>
      <c r="M16" s="6">
        <v>6000</v>
      </c>
      <c r="N16" s="7">
        <v>12</v>
      </c>
      <c r="O16" s="7">
        <v>2</v>
      </c>
      <c r="P16" s="7">
        <v>30</v>
      </c>
      <c r="Q16" s="8" t="s">
        <v>101</v>
      </c>
      <c r="R16" s="2" t="s">
        <v>30</v>
      </c>
      <c r="S16" s="6">
        <f t="shared" si="0"/>
        <v>0</v>
      </c>
    </row>
    <row r="17" spans="1:19" ht="16.8" x14ac:dyDescent="0.3">
      <c r="A17" s="9" t="s">
        <v>102</v>
      </c>
      <c r="B17" s="10" t="s">
        <v>103</v>
      </c>
      <c r="C17" s="10" t="s">
        <v>104</v>
      </c>
      <c r="D17" s="11" t="s">
        <v>34</v>
      </c>
      <c r="E17" s="9" t="s">
        <v>64</v>
      </c>
      <c r="F17" s="9" t="s">
        <v>36</v>
      </c>
      <c r="G17" s="12">
        <v>88</v>
      </c>
      <c r="H17" s="11" t="s">
        <v>25</v>
      </c>
      <c r="I17" s="9" t="s">
        <v>26</v>
      </c>
      <c r="J17" s="9" t="s">
        <v>27</v>
      </c>
      <c r="K17" s="9" t="s">
        <v>47</v>
      </c>
      <c r="L17" s="13">
        <v>2000</v>
      </c>
      <c r="M17" s="13">
        <v>2000</v>
      </c>
      <c r="N17" s="14">
        <v>3</v>
      </c>
      <c r="O17" s="14">
        <v>0</v>
      </c>
      <c r="P17" s="14">
        <v>7</v>
      </c>
      <c r="Q17" s="15" t="s">
        <v>105</v>
      </c>
      <c r="R17" s="9" t="s">
        <v>30</v>
      </c>
      <c r="S17" s="13">
        <f t="shared" si="0"/>
        <v>0</v>
      </c>
    </row>
    <row r="18" spans="1:19" ht="16.8" x14ac:dyDescent="0.3">
      <c r="A18" s="2" t="s">
        <v>106</v>
      </c>
      <c r="B18" s="3" t="s">
        <v>107</v>
      </c>
      <c r="C18" s="3" t="s">
        <v>108</v>
      </c>
      <c r="D18" s="4" t="s">
        <v>22</v>
      </c>
      <c r="E18" s="2" t="s">
        <v>26</v>
      </c>
      <c r="F18" s="2" t="s">
        <v>45</v>
      </c>
      <c r="G18" s="5">
        <v>62</v>
      </c>
      <c r="H18" s="4" t="s">
        <v>25</v>
      </c>
      <c r="I18" s="2" t="s">
        <v>26</v>
      </c>
      <c r="J18" s="2" t="s">
        <v>82</v>
      </c>
      <c r="K18" s="2" t="s">
        <v>28</v>
      </c>
      <c r="L18" s="6">
        <v>800</v>
      </c>
      <c r="M18" s="6">
        <v>600</v>
      </c>
      <c r="N18" s="7">
        <v>1</v>
      </c>
      <c r="O18" s="7">
        <v>0</v>
      </c>
      <c r="P18" s="7">
        <v>0</v>
      </c>
      <c r="Q18" s="8" t="s">
        <v>109</v>
      </c>
      <c r="R18" s="2" t="s">
        <v>66</v>
      </c>
      <c r="S18" s="6">
        <f t="shared" si="0"/>
        <v>200</v>
      </c>
    </row>
    <row r="19" spans="1:19" ht="16.8" x14ac:dyDescent="0.3">
      <c r="A19" s="9" t="s">
        <v>110</v>
      </c>
      <c r="B19" s="10" t="s">
        <v>111</v>
      </c>
      <c r="C19" s="10" t="s">
        <v>112</v>
      </c>
      <c r="D19" s="11" t="s">
        <v>34</v>
      </c>
      <c r="E19" s="9" t="s">
        <v>69</v>
      </c>
      <c r="F19" s="9" t="s">
        <v>24</v>
      </c>
      <c r="G19" s="12">
        <v>95</v>
      </c>
      <c r="H19" s="11" t="s">
        <v>58</v>
      </c>
      <c r="I19" s="9" t="s">
        <v>113</v>
      </c>
      <c r="J19" s="9" t="s">
        <v>37</v>
      </c>
      <c r="K19" s="9" t="s">
        <v>38</v>
      </c>
      <c r="L19" s="13">
        <v>3500</v>
      </c>
      <c r="M19" s="13">
        <v>2625</v>
      </c>
      <c r="N19" s="14">
        <v>6</v>
      </c>
      <c r="O19" s="14">
        <v>1</v>
      </c>
      <c r="P19" s="14">
        <v>15</v>
      </c>
      <c r="Q19" s="15" t="s">
        <v>114</v>
      </c>
      <c r="R19" s="9" t="s">
        <v>40</v>
      </c>
      <c r="S19" s="13">
        <f t="shared" si="0"/>
        <v>875</v>
      </c>
    </row>
    <row r="20" spans="1:19" ht="16.8" x14ac:dyDescent="0.3">
      <c r="A20" s="2" t="s">
        <v>115</v>
      </c>
      <c r="B20" s="3" t="s">
        <v>116</v>
      </c>
      <c r="C20" s="3" t="s">
        <v>117</v>
      </c>
      <c r="D20" s="4" t="s">
        <v>34</v>
      </c>
      <c r="E20" s="2" t="s">
        <v>35</v>
      </c>
      <c r="F20" s="2" t="s">
        <v>53</v>
      </c>
      <c r="G20" s="5">
        <v>69</v>
      </c>
      <c r="H20" s="4" t="s">
        <v>25</v>
      </c>
      <c r="I20" s="2" t="s">
        <v>26</v>
      </c>
      <c r="J20" s="2" t="s">
        <v>46</v>
      </c>
      <c r="K20" s="2" t="s">
        <v>83</v>
      </c>
      <c r="L20" s="6">
        <v>6000</v>
      </c>
      <c r="M20" s="6">
        <v>6000</v>
      </c>
      <c r="N20" s="7">
        <v>12</v>
      </c>
      <c r="O20" s="7">
        <v>2</v>
      </c>
      <c r="P20" s="7">
        <v>30</v>
      </c>
      <c r="Q20" s="8" t="s">
        <v>118</v>
      </c>
      <c r="R20" s="2" t="s">
        <v>49</v>
      </c>
      <c r="S20" s="6">
        <f t="shared" si="0"/>
        <v>0</v>
      </c>
    </row>
    <row r="21" spans="1:19" ht="16.8" x14ac:dyDescent="0.3">
      <c r="A21" s="9" t="s">
        <v>119</v>
      </c>
      <c r="B21" s="10" t="s">
        <v>120</v>
      </c>
      <c r="C21" s="10" t="s">
        <v>121</v>
      </c>
      <c r="D21" s="11" t="s">
        <v>22</v>
      </c>
      <c r="E21" s="9" t="s">
        <v>23</v>
      </c>
      <c r="F21" s="9" t="s">
        <v>81</v>
      </c>
      <c r="G21" s="12">
        <v>102</v>
      </c>
      <c r="H21" s="11" t="s">
        <v>58</v>
      </c>
      <c r="I21" s="9" t="s">
        <v>59</v>
      </c>
      <c r="J21" s="9" t="s">
        <v>27</v>
      </c>
      <c r="K21" s="9" t="s">
        <v>38</v>
      </c>
      <c r="L21" s="13">
        <v>3500</v>
      </c>
      <c r="M21" s="13">
        <v>3500</v>
      </c>
      <c r="N21" s="14">
        <v>6</v>
      </c>
      <c r="O21" s="14">
        <v>1</v>
      </c>
      <c r="P21" s="14">
        <v>15</v>
      </c>
      <c r="Q21" s="15" t="s">
        <v>122</v>
      </c>
      <c r="R21" s="9" t="s">
        <v>30</v>
      </c>
      <c r="S21" s="13">
        <f t="shared" si="0"/>
        <v>0</v>
      </c>
    </row>
    <row r="22" spans="1:19" ht="16.8" x14ac:dyDescent="0.3">
      <c r="A22" s="2" t="s">
        <v>123</v>
      </c>
      <c r="B22" s="3" t="s">
        <v>124</v>
      </c>
      <c r="C22" s="3" t="s">
        <v>125</v>
      </c>
      <c r="D22" s="4" t="s">
        <v>34</v>
      </c>
      <c r="E22" s="2" t="s">
        <v>87</v>
      </c>
      <c r="F22" s="2" t="s">
        <v>36</v>
      </c>
      <c r="G22" s="5">
        <v>74</v>
      </c>
      <c r="H22" s="4" t="s">
        <v>25</v>
      </c>
      <c r="I22" s="2" t="s">
        <v>26</v>
      </c>
      <c r="J22" s="2" t="s">
        <v>37</v>
      </c>
      <c r="K22" s="2" t="s">
        <v>28</v>
      </c>
      <c r="L22" s="6">
        <v>800</v>
      </c>
      <c r="M22" s="6">
        <v>800</v>
      </c>
      <c r="N22" s="7">
        <v>1</v>
      </c>
      <c r="O22" s="7">
        <v>0</v>
      </c>
      <c r="P22" s="7">
        <v>0</v>
      </c>
      <c r="Q22" s="8" t="s">
        <v>126</v>
      </c>
      <c r="R22" s="2" t="s">
        <v>66</v>
      </c>
      <c r="S22" s="6">
        <f t="shared" si="0"/>
        <v>0</v>
      </c>
    </row>
    <row r="23" spans="1:19" ht="16.8" x14ac:dyDescent="0.3">
      <c r="A23" s="9" t="s">
        <v>127</v>
      </c>
      <c r="B23" s="10" t="s">
        <v>128</v>
      </c>
      <c r="C23" s="10" t="s">
        <v>129</v>
      </c>
      <c r="D23" s="11" t="s">
        <v>34</v>
      </c>
      <c r="E23" s="9" t="s">
        <v>44</v>
      </c>
      <c r="F23" s="9" t="s">
        <v>45</v>
      </c>
      <c r="G23" s="12">
        <v>81</v>
      </c>
      <c r="H23" s="11" t="s">
        <v>25</v>
      </c>
      <c r="I23" s="9" t="s">
        <v>26</v>
      </c>
      <c r="J23" s="9" t="s">
        <v>82</v>
      </c>
      <c r="K23" s="9" t="s">
        <v>47</v>
      </c>
      <c r="L23" s="13">
        <v>2000</v>
      </c>
      <c r="M23" s="13">
        <v>1500</v>
      </c>
      <c r="N23" s="14">
        <v>3</v>
      </c>
      <c r="O23" s="14">
        <v>0</v>
      </c>
      <c r="P23" s="14">
        <v>7</v>
      </c>
      <c r="Q23" s="15" t="s">
        <v>130</v>
      </c>
      <c r="R23" s="9" t="s">
        <v>49</v>
      </c>
      <c r="S23" s="13">
        <f t="shared" si="0"/>
        <v>500</v>
      </c>
    </row>
    <row r="24" spans="1:19" ht="16.8" x14ac:dyDescent="0.3">
      <c r="A24" s="2" t="s">
        <v>131</v>
      </c>
      <c r="B24" s="3" t="s">
        <v>132</v>
      </c>
      <c r="C24" s="3" t="s">
        <v>133</v>
      </c>
      <c r="D24" s="4" t="s">
        <v>22</v>
      </c>
      <c r="E24" s="2" t="s">
        <v>80</v>
      </c>
      <c r="F24" s="2" t="s">
        <v>24</v>
      </c>
      <c r="G24" s="5">
        <v>65</v>
      </c>
      <c r="H24" s="4" t="s">
        <v>25</v>
      </c>
      <c r="I24" s="2" t="s">
        <v>26</v>
      </c>
      <c r="J24" s="2" t="s">
        <v>46</v>
      </c>
      <c r="K24" s="2" t="s">
        <v>38</v>
      </c>
      <c r="L24" s="6">
        <v>3500</v>
      </c>
      <c r="M24" s="6">
        <v>2625</v>
      </c>
      <c r="N24" s="7">
        <v>6</v>
      </c>
      <c r="O24" s="7">
        <v>1</v>
      </c>
      <c r="P24" s="7">
        <v>15</v>
      </c>
      <c r="Q24" s="8" t="s">
        <v>134</v>
      </c>
      <c r="R24" s="2" t="s">
        <v>40</v>
      </c>
      <c r="S24" s="6">
        <f t="shared" si="0"/>
        <v>875</v>
      </c>
    </row>
    <row r="25" spans="1:19" ht="16.8" x14ac:dyDescent="0.3">
      <c r="A25" s="9" t="s">
        <v>135</v>
      </c>
      <c r="B25" s="10" t="s">
        <v>136</v>
      </c>
      <c r="C25" s="10" t="s">
        <v>137</v>
      </c>
      <c r="D25" s="11" t="s">
        <v>34</v>
      </c>
      <c r="E25" s="9" t="s">
        <v>26</v>
      </c>
      <c r="F25" s="9" t="s">
        <v>53</v>
      </c>
      <c r="G25" s="12">
        <v>91</v>
      </c>
      <c r="H25" s="11" t="s">
        <v>58</v>
      </c>
      <c r="I25" s="9" t="s">
        <v>113</v>
      </c>
      <c r="J25" s="9" t="s">
        <v>27</v>
      </c>
      <c r="K25" s="9" t="s">
        <v>28</v>
      </c>
      <c r="L25" s="13">
        <v>800</v>
      </c>
      <c r="M25" s="13">
        <v>600</v>
      </c>
      <c r="N25" s="14">
        <v>1</v>
      </c>
      <c r="O25" s="14">
        <v>0</v>
      </c>
      <c r="P25" s="14">
        <v>0</v>
      </c>
      <c r="Q25" s="15" t="s">
        <v>138</v>
      </c>
      <c r="R25" s="9" t="s">
        <v>30</v>
      </c>
      <c r="S25" s="13">
        <f t="shared" si="0"/>
        <v>200</v>
      </c>
    </row>
    <row r="26" spans="1:19" ht="16.8" x14ac:dyDescent="0.3">
      <c r="A26" s="2" t="s">
        <v>139</v>
      </c>
      <c r="B26" s="3" t="s">
        <v>140</v>
      </c>
      <c r="C26" s="3" t="s">
        <v>141</v>
      </c>
      <c r="D26" s="4" t="s">
        <v>34</v>
      </c>
      <c r="E26" s="2" t="s">
        <v>64</v>
      </c>
      <c r="F26" s="2" t="s">
        <v>81</v>
      </c>
      <c r="G26" s="5">
        <v>58</v>
      </c>
      <c r="H26" s="4" t="s">
        <v>25</v>
      </c>
      <c r="I26" s="2" t="s">
        <v>26</v>
      </c>
      <c r="J26" s="2" t="s">
        <v>37</v>
      </c>
      <c r="K26" s="2" t="s">
        <v>83</v>
      </c>
      <c r="L26" s="6">
        <v>6000</v>
      </c>
      <c r="M26" s="6">
        <v>6000</v>
      </c>
      <c r="N26" s="7">
        <v>12</v>
      </c>
      <c r="O26" s="7">
        <v>2</v>
      </c>
      <c r="P26" s="7">
        <v>30</v>
      </c>
      <c r="Q26" s="8" t="s">
        <v>142</v>
      </c>
      <c r="R26" s="2" t="s">
        <v>49</v>
      </c>
      <c r="S26" s="6">
        <f t="shared" si="0"/>
        <v>0</v>
      </c>
    </row>
    <row r="27" spans="1:19" ht="16.8" x14ac:dyDescent="0.3">
      <c r="A27" s="9" t="s">
        <v>143</v>
      </c>
      <c r="B27" s="10" t="s">
        <v>144</v>
      </c>
      <c r="C27" s="10" t="s">
        <v>145</v>
      </c>
      <c r="D27" s="11" t="s">
        <v>22</v>
      </c>
      <c r="E27" s="9" t="s">
        <v>44</v>
      </c>
      <c r="F27" s="9" t="s">
        <v>36</v>
      </c>
      <c r="G27" s="12">
        <v>89</v>
      </c>
      <c r="H27" s="11" t="s">
        <v>25</v>
      </c>
      <c r="I27" s="9" t="s">
        <v>26</v>
      </c>
      <c r="J27" s="9" t="s">
        <v>82</v>
      </c>
      <c r="K27" s="9" t="s">
        <v>38</v>
      </c>
      <c r="L27" s="13">
        <v>3500</v>
      </c>
      <c r="M27" s="13">
        <v>3500</v>
      </c>
      <c r="N27" s="14">
        <v>6</v>
      </c>
      <c r="O27" s="14">
        <v>1</v>
      </c>
      <c r="P27" s="14">
        <v>15</v>
      </c>
      <c r="Q27" s="15" t="s">
        <v>146</v>
      </c>
      <c r="R27" s="9" t="s">
        <v>66</v>
      </c>
      <c r="S27" s="13">
        <f t="shared" si="0"/>
        <v>0</v>
      </c>
    </row>
    <row r="28" spans="1:19" ht="16.8" x14ac:dyDescent="0.3">
      <c r="A28" s="2" t="s">
        <v>147</v>
      </c>
      <c r="B28" s="3" t="s">
        <v>148</v>
      </c>
      <c r="C28" s="3" t="s">
        <v>149</v>
      </c>
      <c r="D28" s="4" t="s">
        <v>34</v>
      </c>
      <c r="E28" s="2" t="s">
        <v>26</v>
      </c>
      <c r="F28" s="2" t="s">
        <v>45</v>
      </c>
      <c r="G28" s="5">
        <v>72</v>
      </c>
      <c r="H28" s="4" t="s">
        <v>25</v>
      </c>
      <c r="I28" s="2" t="s">
        <v>26</v>
      </c>
      <c r="J28" s="2" t="s">
        <v>46</v>
      </c>
      <c r="K28" s="2" t="s">
        <v>47</v>
      </c>
      <c r="L28" s="6">
        <v>2000</v>
      </c>
      <c r="M28" s="6">
        <v>1500</v>
      </c>
      <c r="N28" s="7">
        <v>3</v>
      </c>
      <c r="O28" s="7">
        <v>0</v>
      </c>
      <c r="P28" s="7">
        <v>7</v>
      </c>
      <c r="Q28" s="8" t="s">
        <v>150</v>
      </c>
      <c r="R28" s="2" t="s">
        <v>40</v>
      </c>
      <c r="S28" s="6">
        <f t="shared" si="0"/>
        <v>500</v>
      </c>
    </row>
    <row r="29" spans="1:19" ht="16.8" x14ac:dyDescent="0.3">
      <c r="A29" s="9" t="s">
        <v>151</v>
      </c>
      <c r="B29" s="10" t="s">
        <v>152</v>
      </c>
      <c r="C29" s="10" t="s">
        <v>153</v>
      </c>
      <c r="D29" s="11" t="s">
        <v>34</v>
      </c>
      <c r="E29" s="9" t="s">
        <v>69</v>
      </c>
      <c r="F29" s="9" t="s">
        <v>24</v>
      </c>
      <c r="G29" s="12">
        <v>96</v>
      </c>
      <c r="H29" s="11" t="s">
        <v>58</v>
      </c>
      <c r="I29" s="9" t="s">
        <v>59</v>
      </c>
      <c r="J29" s="9" t="s">
        <v>27</v>
      </c>
      <c r="K29" s="9" t="s">
        <v>28</v>
      </c>
      <c r="L29" s="13">
        <v>800</v>
      </c>
      <c r="M29" s="13">
        <v>800</v>
      </c>
      <c r="N29" s="14">
        <v>1</v>
      </c>
      <c r="O29" s="14">
        <v>0</v>
      </c>
      <c r="P29" s="14">
        <v>0</v>
      </c>
      <c r="Q29" s="15" t="s">
        <v>154</v>
      </c>
      <c r="R29" s="9" t="s">
        <v>30</v>
      </c>
      <c r="S29" s="13">
        <f t="shared" si="0"/>
        <v>0</v>
      </c>
    </row>
    <row r="30" spans="1:19" ht="16.8" x14ac:dyDescent="0.3">
      <c r="A30" s="2" t="s">
        <v>155</v>
      </c>
      <c r="B30" s="3" t="s">
        <v>156</v>
      </c>
      <c r="C30" s="3" t="s">
        <v>157</v>
      </c>
      <c r="D30" s="4" t="s">
        <v>22</v>
      </c>
      <c r="E30" s="2" t="s">
        <v>35</v>
      </c>
      <c r="F30" s="2" t="s">
        <v>53</v>
      </c>
      <c r="G30" s="5">
        <v>63</v>
      </c>
      <c r="H30" s="4" t="s">
        <v>25</v>
      </c>
      <c r="I30" s="2" t="s">
        <v>26</v>
      </c>
      <c r="J30" s="2" t="s">
        <v>37</v>
      </c>
      <c r="K30" s="2" t="s">
        <v>38</v>
      </c>
      <c r="L30" s="6">
        <v>3500</v>
      </c>
      <c r="M30" s="6">
        <v>2625</v>
      </c>
      <c r="N30" s="7">
        <v>6</v>
      </c>
      <c r="O30" s="7">
        <v>1</v>
      </c>
      <c r="P30" s="7">
        <v>15</v>
      </c>
      <c r="Q30" s="8" t="s">
        <v>158</v>
      </c>
      <c r="R30" s="2" t="s">
        <v>49</v>
      </c>
      <c r="S30" s="6">
        <f t="shared" si="0"/>
        <v>875</v>
      </c>
    </row>
    <row r="31" spans="1:19" ht="16.8" x14ac:dyDescent="0.3">
      <c r="A31" s="9" t="s">
        <v>159</v>
      </c>
      <c r="B31" s="10" t="s">
        <v>160</v>
      </c>
      <c r="C31" s="10" t="s">
        <v>161</v>
      </c>
      <c r="D31" s="11" t="s">
        <v>34</v>
      </c>
      <c r="E31" s="9" t="s">
        <v>87</v>
      </c>
      <c r="F31" s="9" t="s">
        <v>81</v>
      </c>
      <c r="G31" s="12">
        <v>84</v>
      </c>
      <c r="H31" s="11" t="s">
        <v>25</v>
      </c>
      <c r="I31" s="9" t="s">
        <v>26</v>
      </c>
      <c r="J31" s="9" t="s">
        <v>82</v>
      </c>
      <c r="K31" s="9" t="s">
        <v>28</v>
      </c>
      <c r="L31" s="13">
        <v>800</v>
      </c>
      <c r="M31" s="13">
        <v>600</v>
      </c>
      <c r="N31" s="14">
        <v>1</v>
      </c>
      <c r="O31" s="14">
        <v>0</v>
      </c>
      <c r="P31" s="14">
        <v>0</v>
      </c>
      <c r="Q31" s="15" t="s">
        <v>162</v>
      </c>
      <c r="R31" s="9" t="s">
        <v>66</v>
      </c>
      <c r="S31" s="13">
        <f t="shared" si="0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Moustafa Maher</cp:lastModifiedBy>
  <dcterms:created xsi:type="dcterms:W3CDTF">2026-07-03T14:35:05Z</dcterms:created>
  <dcterms:modified xsi:type="dcterms:W3CDTF">2026-07-03T14:43:21Z</dcterms:modified>
</cp:coreProperties>
</file>